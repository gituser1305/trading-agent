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  <sheet name="Agent Confi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<sst xmlns="http://schemas.openxmlformats.org/spreadsheetml/2006/main" count="87" uniqueCount="86">
  <si>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 xml:space="preserve">#</t>
  </si>
  <si>
    <t xml:space="preserve">Stock Name</t>
  </si>
  <si>
    <t xml:space="preserve">NSE Symbol</t>
  </si>
  <si>
    <t xml:space="preserve">Quantity</t>
  </si>
  <si>
    <t xml:space="preserve">Avg Buy Price (₹)</t>
  </si>
  <si>
    <t xml:space="preserve">Invested Amount (₹)</t>
  </si>
  <si>
    <t xml:space="preserve">Current Price (₹)</t>
  </si>
  <si>
    <t xml:space="preserve">Current Value (₹)</t>
  </si>
  <si>
    <t xml:space="preserve">Total P&amp;L (₹)</t>
  </si>
  <si>
    <t xml:space="preserve">P&amp;L %</t>
  </si>
  <si>
    <t xml:space="preserve">BSE Ltd</t>
  </si>
  <si>
    <t xml:space="preserve">BSE</t>
  </si>
  <si>
    <t xml:space="preserve">Eicher Motors Ltd</t>
  </si>
  <si>
    <t xml:space="preserve">EICHERMOT</t>
  </si>
  <si>
    <t xml:space="preserve">Adani Green Energy Ltd</t>
  </si>
  <si>
    <t xml:space="preserve">ADANIGREEN</t>
  </si>
  <si>
    <t xml:space="preserve">ABB India Ltd</t>
  </si>
  <si>
    <t xml:space="preserve">ABB</t>
  </si>
  <si>
    <t xml:space="preserve">Tata Motors Ltd</t>
  </si>
  <si>
    <t xml:space="preserve">TATASTEEL</t>
  </si>
  <si>
    <t xml:space="preserve">TVS Motor Company Ltd</t>
  </si>
  <si>
    <t xml:space="preserve">TVSMOTOR</t>
  </si>
  <si>
    <t xml:space="preserve">CG Power &amp; Industrial Solutions Ltd</t>
  </si>
  <si>
    <t xml:space="preserve">CGPOWER</t>
  </si>
  <si>
    <t xml:space="preserve">Bharat Electronics Ltd</t>
  </si>
  <si>
    <t xml:space="preserve">BEL</t>
  </si>
  <si>
    <t xml:space="preserve">Tata Steel Ltd</t>
  </si>
  <si>
    <t xml:space="preserve">Siemens Energy India Ltd</t>
  </si>
  <si>
    <t xml:space="preserve">ENRIN</t>
  </si>
  <si>
    <t xml:space="preserve">Valiant Communications Ltd</t>
  </si>
  <si>
    <t xml:space="preserve">VALIANTCO</t>
  </si>
  <si>
    <t xml:space="preserve">ITI Ltd</t>
  </si>
  <si>
    <t xml:space="preserve">ITI</t>
  </si>
  <si>
    <t xml:space="preserve">Ashoka Buildcon Ltd</t>
  </si>
  <si>
    <t xml:space="preserve">ASHOKA</t>
  </si>
  <si>
    <t xml:space="preserve">DSP Silver ETF</t>
  </si>
  <si>
    <t xml:space="preserve">SILVERADD</t>
  </si>
  <si>
    <t xml:space="preserve">Mahindra &amp; Mahindra Ltd</t>
  </si>
  <si>
    <t xml:space="preserve">M&amp;M</t>
  </si>
  <si>
    <t xml:space="preserve">Bharat Dynamics Ltd</t>
  </si>
  <si>
    <t xml:space="preserve">BDL</t>
  </si>
  <si>
    <t xml:space="preserve">ICICI Prudential Silver ETF</t>
  </si>
  <si>
    <t xml:space="preserve">SILVERIETF</t>
  </si>
  <si>
    <t xml:space="preserve">Hindustan Aeronautics Ltd</t>
  </si>
  <si>
    <t xml:space="preserve">HAL</t>
  </si>
  <si>
    <t xml:space="preserve">Britannia Industries Ltd</t>
  </si>
  <si>
    <t xml:space="preserve">BRITANNIA</t>
  </si>
  <si>
    <t xml:space="preserve">Nippon India ETF Gold Bees</t>
  </si>
  <si>
    <t xml:space="preserve">GOLDBEES</t>
  </si>
  <si>
    <t xml:space="preserve">Infosys Ltd</t>
  </si>
  <si>
    <t xml:space="preserve">INFY</t>
  </si>
  <si>
    <t xml:space="preserve">Tata Motors Passenger Vehicles Ltd</t>
  </si>
  <si>
    <t xml:space="preserve">TATAMOTORS</t>
  </si>
  <si>
    <t xml:space="preserve">Rail Vikas Nigam Ltd</t>
  </si>
  <si>
    <t xml:space="preserve">RVNL</t>
  </si>
  <si>
    <t xml:space="preserve">Kaynes Technology India Ltd</t>
  </si>
  <si>
    <t xml:space="preserve">KAYNES</t>
  </si>
  <si>
    <t xml:space="preserve">TOTAL</t>
  </si>
  <si>
    <t xml:space="preserve">Parameter</t>
  </si>
  <si>
    <t xml:space="preserve">Value</t>
  </si>
  <si>
    <t xml:space="preserve">Description</t>
  </si>
  <si>
    <t xml:space="preserve">Total Capital (₹)</t>
  </si>
  <si>
    <t xml:space="preserve">Total virtual capital to invest (change to 1000000 for 10L)</t>
  </si>
  <si>
    <t xml:space="preserve">Market Open Time</t>
  </si>
  <si>
    <t xml:space="preserve">09:30</t>
  </si>
  <si>
    <t xml:space="preserve">NSE market opens</t>
  </si>
  <si>
    <t xml:space="preserve">Analysis Start Time</t>
  </si>
  <si>
    <t xml:space="preserve">10:00</t>
  </si>
  <si>
    <t xml:space="preserve">Agent starts after 30 min of market data</t>
  </si>
  <si>
    <t xml:space="preserve">Market Close Time</t>
  </si>
  <si>
    <t xml:space="preserve">15:20</t>
  </si>
  <si>
    <t xml:space="preserve">Sell all positions before this time</t>
  </si>
  <si>
    <t xml:space="preserve">Check Interval (min)</t>
  </si>
  <si>
    <t xml:space="preserve">How often agent checks prices</t>
  </si>
  <si>
    <t xml:space="preserve">Stop Loss %</t>
  </si>
  <si>
    <t xml:space="preserve">Sell if loss exceeds this percentage</t>
  </si>
  <si>
    <t xml:space="preserve">High Confidence Allocation %</t>
  </si>
  <si>
    <t xml:space="preserve">% of capital for high confidence stocks</t>
  </si>
  <si>
    <t xml:space="preserve">Medium Confidence Allocation %</t>
  </si>
  <si>
    <t xml:space="preserve">% of capital for medium confidence stocks</t>
  </si>
  <si>
    <t xml:space="preserve">Low Confidence Allocation %</t>
  </si>
  <si>
    <t xml:space="preserve">% of capital for low confidence stocks</t>
  </si>
  <si>
    <t xml:space="preserve">RSI Overbought Level</t>
  </si>
  <si>
    <t xml:space="preserve">RSI above this = lower confidence</t>
  </si>
  <si>
    <t xml:space="preserve">RSI Oversold Level</t>
  </si>
  <si>
    <t xml:space="preserve">RSI below this = higher confidence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</si>
</sst>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C"/>
      </patternFill>
    </fill>
    <fill>
      <patternFill patternType="solid">
        <fgColor rgb="FFE2EFDA"/>
        <bgColor rgb="FFD9E1F2"/>
      </patternFill>
    </fill>
    <fill>
      <patternFill patternType="solid">
        <fgColor rgb="FFF2F7FC"/>
        <bgColor rgb="FFFFFFFF"/>
      </patternFill>
    </fill>
    <fill>
      <patternFill patternType="solid">
        <fgColor rgb="FFFFDCDC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7F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C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8" min="5" style="0" width="18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2" t="s">
        <v>11</v>
      </c>
      <c r="D2" s="2" t="n">
        <v>70</v>
      </c>
      <c r="E2" s="4" t="n">
        <v>2528.14</v>
      </c>
      <c r="F2" s="4" t="n">
        <v>176969.8</v>
      </c>
      <c r="G2" s="4" t="n">
        <v>3872.1</v>
      </c>
      <c r="H2" s="4" t="n">
        <v>271047</v>
      </c>
      <c r="I2" s="5" t="n">
        <v>94077.2</v>
      </c>
      <c r="J2" s="6" t="n">
        <v>53.1600306945027</v>
      </c>
    </row>
    <row r="3" customFormat="false" ht="15" hidden="false" customHeight="false" outlineLevel="0" collapsed="false">
      <c r="A3" s="7" t="n">
        <v>2</v>
      </c>
      <c r="B3" s="8" t="s">
        <v>12</v>
      </c>
      <c r="C3" s="7" t="s">
        <v>13</v>
      </c>
      <c r="D3" s="7" t="n">
        <v>21</v>
      </c>
      <c r="E3" s="9" t="n">
        <v>5521.3</v>
      </c>
      <c r="F3" s="9" t="n">
        <v>115947.3</v>
      </c>
      <c r="G3" s="9" t="n">
        <v>7598</v>
      </c>
      <c r="H3" s="9" t="n">
        <v>159558</v>
      </c>
      <c r="I3" s="5" t="n">
        <v>43610.7</v>
      </c>
      <c r="J3" s="6" t="n">
        <v>37.6125187908645</v>
      </c>
    </row>
    <row r="4" customFormat="false" ht="15" hidden="false" customHeight="false" outlineLevel="0" collapsed="false">
      <c r="A4" s="2" t="n">
        <v>3</v>
      </c>
      <c r="B4" s="3" t="s">
        <v>14</v>
      </c>
      <c r="C4" s="2" t="s">
        <v>15</v>
      </c>
      <c r="D4" s="2" t="n">
        <v>76</v>
      </c>
      <c r="E4" s="4" t="n">
        <v>1135.41</v>
      </c>
      <c r="F4" s="4" t="n">
        <v>86291.16</v>
      </c>
      <c r="G4" s="4" t="n">
        <v>1526.1</v>
      </c>
      <c r="H4" s="4" t="n">
        <v>115983.6</v>
      </c>
      <c r="I4" s="5" t="n">
        <v>29692.44</v>
      </c>
      <c r="J4" s="6" t="n">
        <v>34.4095965334108</v>
      </c>
    </row>
    <row r="5" customFormat="false" ht="15" hidden="false" customHeight="false" outlineLevel="0" collapsed="false">
      <c r="A5" s="7" t="n">
        <v>4</v>
      </c>
      <c r="B5" s="8" t="s">
        <v>16</v>
      </c>
      <c r="C5" s="7" t="s">
        <v>17</v>
      </c>
      <c r="D5" s="7" t="n">
        <v>20</v>
      </c>
      <c r="E5" s="9" t="n">
        <v>5757</v>
      </c>
      <c r="F5" s="9" t="n">
        <v>115140</v>
      </c>
      <c r="G5" s="9" t="n">
        <v>6993</v>
      </c>
      <c r="H5" s="9" t="n">
        <v>139860</v>
      </c>
      <c r="I5" s="5" t="n">
        <v>24720</v>
      </c>
      <c r="J5" s="6" t="n">
        <v>21.4695153725899</v>
      </c>
    </row>
    <row r="6" customFormat="false" ht="15" hidden="false" customHeight="false" outlineLevel="0" collapsed="false">
      <c r="A6" s="2" t="n">
        <v>5</v>
      </c>
      <c r="B6" s="3" t="s">
        <v>18</v>
      </c>
      <c r="C6" s="2" t="s">
        <v>19</v>
      </c>
      <c r="D6" s="2" t="n">
        <v>152</v>
      </c>
      <c r="E6" s="4" t="n">
        <v>296.78</v>
      </c>
      <c r="F6" s="4" t="n">
        <v>45110.56</v>
      </c>
      <c r="G6" s="4" t="n">
        <v>431.9</v>
      </c>
      <c r="H6" s="4" t="n">
        <v>65648.8</v>
      </c>
      <c r="I6" s="5" t="n">
        <v>20538.24</v>
      </c>
      <c r="J6" s="6" t="n">
        <v>45.5286744389784</v>
      </c>
    </row>
    <row r="7" customFormat="false" ht="15" hidden="false" customHeight="false" outlineLevel="0" collapsed="false">
      <c r="A7" s="7" t="n">
        <v>6</v>
      </c>
      <c r="B7" s="8" t="s">
        <v>20</v>
      </c>
      <c r="C7" s="7" t="s">
        <v>21</v>
      </c>
      <c r="D7" s="7" t="n">
        <v>20</v>
      </c>
      <c r="E7" s="9" t="n">
        <v>2762.3</v>
      </c>
      <c r="F7" s="9" t="n">
        <v>55246</v>
      </c>
      <c r="G7" s="9" t="n">
        <v>3569.7</v>
      </c>
      <c r="H7" s="9" t="n">
        <v>71394</v>
      </c>
      <c r="I7" s="5" t="n">
        <v>16148</v>
      </c>
      <c r="J7" s="6" t="n">
        <v>29.2292654671832</v>
      </c>
    </row>
    <row r="8" customFormat="false" ht="15" hidden="false" customHeight="false" outlineLevel="0" collapsed="false">
      <c r="A8" s="2" t="n">
        <v>7</v>
      </c>
      <c r="B8" s="3" t="s">
        <v>22</v>
      </c>
      <c r="C8" s="2" t="s">
        <v>23</v>
      </c>
      <c r="D8" s="2" t="n">
        <v>30</v>
      </c>
      <c r="E8" s="4" t="n">
        <v>747.52</v>
      </c>
      <c r="F8" s="4" t="n">
        <v>22425.6</v>
      </c>
      <c r="G8" s="4" t="n">
        <v>942.1</v>
      </c>
      <c r="H8" s="4" t="n">
        <v>28263</v>
      </c>
      <c r="I8" s="5" t="n">
        <v>5837.4</v>
      </c>
      <c r="J8" s="6" t="n">
        <v>26.0300727739726</v>
      </c>
    </row>
    <row r="9" customFormat="false" ht="15" hidden="false" customHeight="false" outlineLevel="0" collapsed="false">
      <c r="A9" s="7" t="n">
        <v>8</v>
      </c>
      <c r="B9" s="8" t="s">
        <v>24</v>
      </c>
      <c r="C9" s="7" t="s">
        <v>25</v>
      </c>
      <c r="D9" s="7" t="n">
        <v>100</v>
      </c>
      <c r="E9" s="9" t="n">
        <v>357.21</v>
      </c>
      <c r="F9" s="9" t="n">
        <v>35721</v>
      </c>
      <c r="G9" s="9" t="n">
        <v>407.2</v>
      </c>
      <c r="H9" s="9" t="n">
        <v>40720</v>
      </c>
      <c r="I9" s="5" t="n">
        <v>4999</v>
      </c>
      <c r="J9" s="6" t="n">
        <v>13.9945690210241</v>
      </c>
    </row>
    <row r="10" customFormat="false" ht="15" hidden="false" customHeight="false" outlineLevel="0" collapsed="false">
      <c r="A10" s="2" t="n">
        <v>9</v>
      </c>
      <c r="B10" s="3" t="s">
        <v>26</v>
      </c>
      <c r="C10" s="2" t="s">
        <v>19</v>
      </c>
      <c r="D10" s="2" t="n">
        <v>543</v>
      </c>
      <c r="E10" s="4" t="n">
        <v>183.87</v>
      </c>
      <c r="F10" s="4" t="n">
        <v>99841.41</v>
      </c>
      <c r="G10" s="4" t="n">
        <v>188.71</v>
      </c>
      <c r="H10" s="4" t="n">
        <v>102469.53</v>
      </c>
      <c r="I10" s="5" t="n">
        <v>2628.12</v>
      </c>
      <c r="J10" s="6" t="n">
        <v>2.63229455593626</v>
      </c>
    </row>
    <row r="11" customFormat="false" ht="15" hidden="false" customHeight="false" outlineLevel="0" collapsed="false">
      <c r="A11" s="7" t="n">
        <v>10</v>
      </c>
      <c r="B11" s="8" t="s">
        <v>27</v>
      </c>
      <c r="C11" s="7" t="s">
        <v>28</v>
      </c>
      <c r="D11" s="7" t="n">
        <v>20</v>
      </c>
      <c r="E11" s="9" t="n">
        <v>3560</v>
      </c>
      <c r="F11" s="9" t="n">
        <v>71200</v>
      </c>
      <c r="G11" s="9" t="n">
        <v>3685.8</v>
      </c>
      <c r="H11" s="9" t="n">
        <v>73716</v>
      </c>
      <c r="I11" s="5" t="n">
        <v>2516</v>
      </c>
      <c r="J11" s="6" t="n">
        <v>3.53370786516854</v>
      </c>
    </row>
    <row r="12" customFormat="false" ht="15" hidden="false" customHeight="false" outlineLevel="0" collapsed="false">
      <c r="A12" s="2" t="n">
        <v>11</v>
      </c>
      <c r="B12" s="3" t="s">
        <v>29</v>
      </c>
      <c r="C12" s="2" t="s">
        <v>30</v>
      </c>
      <c r="D12" s="2" t="n">
        <v>20</v>
      </c>
      <c r="E12" s="4" t="n">
        <v>1084.28</v>
      </c>
      <c r="F12" s="4" t="n">
        <v>21685.6</v>
      </c>
      <c r="G12" s="4" t="n">
        <v>1049.7</v>
      </c>
      <c r="H12" s="4" t="n">
        <v>20994</v>
      </c>
      <c r="I12" s="10" t="n">
        <v>-691.599999999999</v>
      </c>
      <c r="J12" s="11" t="n">
        <v>-3.1892131183827</v>
      </c>
    </row>
    <row r="13" customFormat="false" ht="15" hidden="false" customHeight="false" outlineLevel="0" collapsed="false">
      <c r="A13" s="7" t="n">
        <v>12</v>
      </c>
      <c r="B13" s="8" t="s">
        <v>31</v>
      </c>
      <c r="C13" s="7" t="s">
        <v>32</v>
      </c>
      <c r="D13" s="7" t="n">
        <v>90</v>
      </c>
      <c r="E13" s="9" t="n">
        <v>360.36</v>
      </c>
      <c r="F13" s="9" t="n">
        <v>32432.4</v>
      </c>
      <c r="G13" s="9" t="n">
        <v>301.6</v>
      </c>
      <c r="H13" s="9" t="n">
        <v>27144</v>
      </c>
      <c r="I13" s="10" t="n">
        <v>-5288.4</v>
      </c>
      <c r="J13" s="11" t="n">
        <v>-16.3059163059163</v>
      </c>
    </row>
    <row r="14" customFormat="false" ht="15" hidden="false" customHeight="false" outlineLevel="0" collapsed="false">
      <c r="A14" s="2" t="n">
        <v>13</v>
      </c>
      <c r="B14" s="3" t="s">
        <v>33</v>
      </c>
      <c r="C14" s="2" t="s">
        <v>34</v>
      </c>
      <c r="D14" s="2" t="n">
        <v>40</v>
      </c>
      <c r="E14" s="4" t="n">
        <v>277.34</v>
      </c>
      <c r="F14" s="4" t="n">
        <v>11093.6</v>
      </c>
      <c r="G14" s="4" t="n">
        <v>131.03</v>
      </c>
      <c r="H14" s="4" t="n">
        <v>5241.2</v>
      </c>
      <c r="I14" s="10" t="n">
        <v>-5852.4</v>
      </c>
      <c r="J14" s="11" t="n">
        <v>-52.7547414725608</v>
      </c>
    </row>
    <row r="15" customFormat="false" ht="15" hidden="false" customHeight="false" outlineLevel="0" collapsed="false">
      <c r="A15" s="7" t="n">
        <v>14</v>
      </c>
      <c r="B15" s="8" t="s">
        <v>35</v>
      </c>
      <c r="C15" s="7" t="s">
        <v>36</v>
      </c>
      <c r="D15" s="7" t="n">
        <v>100</v>
      </c>
      <c r="E15" s="9" t="n">
        <v>272.8</v>
      </c>
      <c r="F15" s="9" t="n">
        <v>27280</v>
      </c>
      <c r="G15" s="9" t="n">
        <v>210.05</v>
      </c>
      <c r="H15" s="9" t="n">
        <v>21005</v>
      </c>
      <c r="I15" s="10" t="n">
        <v>-6275</v>
      </c>
      <c r="J15" s="11" t="n">
        <v>-23.0021994134897</v>
      </c>
    </row>
    <row r="16" customFormat="false" ht="15" hidden="false" customHeight="false" outlineLevel="0" collapsed="false">
      <c r="A16" s="2" t="n">
        <v>15</v>
      </c>
      <c r="B16" s="3" t="s">
        <v>37</v>
      </c>
      <c r="C16" s="2" t="s">
        <v>38</v>
      </c>
      <c r="D16" s="2" t="n">
        <v>20</v>
      </c>
      <c r="E16" s="4" t="n">
        <v>3499.3</v>
      </c>
      <c r="F16" s="4" t="n">
        <v>69986</v>
      </c>
      <c r="G16" s="4" t="n">
        <v>3182.2</v>
      </c>
      <c r="H16" s="4" t="n">
        <v>63644</v>
      </c>
      <c r="I16" s="10" t="n">
        <v>-6342</v>
      </c>
      <c r="J16" s="11" t="n">
        <v>-9.06181236247249</v>
      </c>
    </row>
    <row r="17" customFormat="false" ht="15" hidden="false" customHeight="false" outlineLevel="0" collapsed="false">
      <c r="A17" s="7" t="n">
        <v>16</v>
      </c>
      <c r="B17" s="8" t="s">
        <v>39</v>
      </c>
      <c r="C17" s="7" t="s">
        <v>40</v>
      </c>
      <c r="D17" s="7" t="n">
        <v>20</v>
      </c>
      <c r="E17" s="9" t="n">
        <v>1693.5</v>
      </c>
      <c r="F17" s="9" t="n">
        <v>33870</v>
      </c>
      <c r="G17" s="9" t="n">
        <v>1368.4</v>
      </c>
      <c r="H17" s="9" t="n">
        <v>27368</v>
      </c>
      <c r="I17" s="10" t="n">
        <v>-6502</v>
      </c>
      <c r="J17" s="11" t="n">
        <v>-19.1969294360791</v>
      </c>
    </row>
    <row r="18" customFormat="false" ht="15" hidden="false" customHeight="false" outlineLevel="0" collapsed="false">
      <c r="A18" s="2" t="n">
        <v>17</v>
      </c>
      <c r="B18" s="3" t="s">
        <v>41</v>
      </c>
      <c r="C18" s="2" t="s">
        <v>42</v>
      </c>
      <c r="D18" s="2" t="n">
        <v>100</v>
      </c>
      <c r="E18" s="4" t="n">
        <v>282.03</v>
      </c>
      <c r="F18" s="4" t="n">
        <v>28203</v>
      </c>
      <c r="G18" s="4" t="n">
        <v>216.32</v>
      </c>
      <c r="H18" s="4" t="n">
        <v>21632</v>
      </c>
      <c r="I18" s="10" t="n">
        <v>-6571</v>
      </c>
      <c r="J18" s="11" t="n">
        <v>-23.2989398290962</v>
      </c>
    </row>
    <row r="19" customFormat="false" ht="15" hidden="false" customHeight="false" outlineLevel="0" collapsed="false">
      <c r="A19" s="7" t="n">
        <v>18</v>
      </c>
      <c r="B19" s="8" t="s">
        <v>43</v>
      </c>
      <c r="C19" s="7" t="s">
        <v>44</v>
      </c>
      <c r="D19" s="7" t="n">
        <v>20</v>
      </c>
      <c r="E19" s="9" t="n">
        <v>4724.7</v>
      </c>
      <c r="F19" s="9" t="n">
        <v>94494</v>
      </c>
      <c r="G19" s="9" t="n">
        <v>4368.7</v>
      </c>
      <c r="H19" s="9" t="n">
        <v>87374</v>
      </c>
      <c r="I19" s="10" t="n">
        <v>-7120</v>
      </c>
      <c r="J19" s="11" t="n">
        <v>-7.5348699388321</v>
      </c>
    </row>
    <row r="20" customFormat="false" ht="15" hidden="false" customHeight="false" outlineLevel="0" collapsed="false">
      <c r="A20" s="2" t="n">
        <v>19</v>
      </c>
      <c r="B20" s="3" t="s">
        <v>45</v>
      </c>
      <c r="C20" s="2" t="s">
        <v>46</v>
      </c>
      <c r="D20" s="2" t="n">
        <v>10</v>
      </c>
      <c r="E20" s="4" t="n">
        <v>6233.25</v>
      </c>
      <c r="F20" s="4" t="n">
        <v>62332.5</v>
      </c>
      <c r="G20" s="4" t="n">
        <v>5237</v>
      </c>
      <c r="H20" s="4" t="n">
        <v>52370</v>
      </c>
      <c r="I20" s="10" t="n">
        <v>-9962.5</v>
      </c>
      <c r="J20" s="11" t="n">
        <v>-15.9828339951069</v>
      </c>
    </row>
    <row r="21" customFormat="false" ht="15" hidden="false" customHeight="false" outlineLevel="0" collapsed="false">
      <c r="A21" s="7" t="n">
        <v>20</v>
      </c>
      <c r="B21" s="8" t="s">
        <v>47</v>
      </c>
      <c r="C21" s="7" t="s">
        <v>48</v>
      </c>
      <c r="D21" s="7" t="n">
        <v>500</v>
      </c>
      <c r="E21" s="9" t="n">
        <v>137.2</v>
      </c>
      <c r="F21" s="9" t="n">
        <v>68600</v>
      </c>
      <c r="G21" s="9" t="n">
        <v>114.96</v>
      </c>
      <c r="H21" s="9" t="n">
        <v>57480</v>
      </c>
      <c r="I21" s="10" t="n">
        <v>-11120</v>
      </c>
      <c r="J21" s="11" t="n">
        <v>-16.2099125364432</v>
      </c>
    </row>
    <row r="22" customFormat="false" ht="15" hidden="false" customHeight="false" outlineLevel="0" collapsed="false">
      <c r="A22" s="2" t="n">
        <v>21</v>
      </c>
      <c r="B22" s="3" t="s">
        <v>49</v>
      </c>
      <c r="C22" s="2" t="s">
        <v>50</v>
      </c>
      <c r="D22" s="2" t="n">
        <v>20</v>
      </c>
      <c r="E22" s="4" t="n">
        <v>1964.6</v>
      </c>
      <c r="F22" s="4" t="n">
        <v>39292</v>
      </c>
      <c r="G22" s="4" t="n">
        <v>1041.2</v>
      </c>
      <c r="H22" s="4" t="n">
        <v>20824</v>
      </c>
      <c r="I22" s="10" t="n">
        <v>-18468</v>
      </c>
      <c r="J22" s="11" t="n">
        <v>-47.0019342359768</v>
      </c>
    </row>
    <row r="23" customFormat="false" ht="15" hidden="false" customHeight="false" outlineLevel="0" collapsed="false">
      <c r="A23" s="7" t="n">
        <v>22</v>
      </c>
      <c r="B23" s="8" t="s">
        <v>51</v>
      </c>
      <c r="C23" s="7" t="s">
        <v>52</v>
      </c>
      <c r="D23" s="7" t="n">
        <v>170</v>
      </c>
      <c r="E23" s="9" t="n">
        <v>481.06</v>
      </c>
      <c r="F23" s="9" t="n">
        <v>81780.2</v>
      </c>
      <c r="G23" s="9" t="n">
        <v>353.2</v>
      </c>
      <c r="H23" s="9" t="n">
        <v>60044</v>
      </c>
      <c r="I23" s="10" t="n">
        <v>-21736.2</v>
      </c>
      <c r="J23" s="11" t="n">
        <v>-26.5788051386521</v>
      </c>
    </row>
    <row r="24" customFormat="false" ht="15" hidden="false" customHeight="false" outlineLevel="0" collapsed="false">
      <c r="A24" s="2" t="n">
        <v>23</v>
      </c>
      <c r="B24" s="3" t="s">
        <v>53</v>
      </c>
      <c r="C24" s="2" t="s">
        <v>54</v>
      </c>
      <c r="D24" s="2" t="n">
        <v>100</v>
      </c>
      <c r="E24" s="4" t="n">
        <v>495.1</v>
      </c>
      <c r="F24" s="4" t="n">
        <v>49510</v>
      </c>
      <c r="G24" s="4" t="n">
        <v>240.85</v>
      </c>
      <c r="H24" s="4" t="n">
        <v>24085</v>
      </c>
      <c r="I24" s="10" t="n">
        <v>-25425</v>
      </c>
      <c r="J24" s="11" t="n">
        <v>-51.3532619672793</v>
      </c>
    </row>
    <row r="25" customFormat="false" ht="15" hidden="false" customHeight="false" outlineLevel="0" collapsed="false">
      <c r="A25" s="7" t="n">
        <v>24</v>
      </c>
      <c r="B25" s="8" t="s">
        <v>55</v>
      </c>
      <c r="C25" s="7" t="s">
        <v>56</v>
      </c>
      <c r="D25" s="7" t="n">
        <v>10</v>
      </c>
      <c r="E25" s="9" t="n">
        <v>7158</v>
      </c>
      <c r="F25" s="9" t="n">
        <v>71580</v>
      </c>
      <c r="G25" s="9" t="n">
        <v>3264.7</v>
      </c>
      <c r="H25" s="9" t="n">
        <v>32647</v>
      </c>
      <c r="I25" s="10" t="n">
        <v>-38933</v>
      </c>
      <c r="J25" s="11" t="n">
        <v>-54.3908913104219</v>
      </c>
    </row>
    <row r="26" customFormat="false" ht="15" hidden="false" customHeight="false" outlineLevel="0" collapsed="false">
      <c r="A26" s="12" t="s">
        <v>57</v>
      </c>
      <c r="B26" s="13"/>
      <c r="C26" s="13"/>
      <c r="D26" s="13"/>
      <c r="F26" s="14" t="n">
        <f aca="false">SUM(F2:F25)</f>
        <v>1516032.13</v>
      </c>
      <c r="H26" s="14" t="n">
        <f aca="false">SUM(H2:H25)</f>
        <v>1590512.13</v>
      </c>
      <c r="I26" s="14" t="n">
        <f aca="false">SUM(I2:I25)</f>
        <v>74480</v>
      </c>
      <c r="J26" s="15" t="n">
        <f aca="false">(I26/F26)*100</f>
        <v>4.91282463782611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24.75" hidden="false" customHeight="true" outlineLevel="0" collapsed="false">
      <c r="A1" s="1" t="s">
        <v>58</v>
      </c>
      <c r="B1" s="1" t="s">
        <v>59</v>
      </c>
      <c r="C1" s="1" t="s">
        <v>60</v>
      </c>
    </row>
    <row r="2" customFormat="false" ht="15" hidden="false" customHeight="false" outlineLevel="0" collapsed="false">
      <c r="A2" s="16" t="s">
        <v>61</v>
      </c>
      <c r="B2" s="17" t="n">
        <v>500000</v>
      </c>
      <c r="C2" s="18" t="s">
        <v>62</v>
      </c>
    </row>
    <row r="3" customFormat="false" ht="15" hidden="false" customHeight="false" outlineLevel="0" collapsed="false">
      <c r="A3" s="19" t="s">
        <v>63</v>
      </c>
      <c r="B3" s="17" t="s">
        <v>64</v>
      </c>
      <c r="C3" s="18" t="s">
        <v>65</v>
      </c>
    </row>
    <row r="4" customFormat="false" ht="15" hidden="false" customHeight="false" outlineLevel="0" collapsed="false">
      <c r="A4" s="16" t="s">
        <v>66</v>
      </c>
      <c r="B4" s="17" t="s">
        <v>67</v>
      </c>
      <c r="C4" s="18" t="s">
        <v>68</v>
      </c>
    </row>
    <row r="5" customFormat="false" ht="15" hidden="false" customHeight="false" outlineLevel="0" collapsed="false">
      <c r="A5" s="19" t="s">
        <v>69</v>
      </c>
      <c r="B5" s="17" t="s">
        <v>70</v>
      </c>
      <c r="C5" s="18" t="s">
        <v>71</v>
      </c>
    </row>
    <row r="6" customFormat="false" ht="15" hidden="false" customHeight="false" outlineLevel="0" collapsed="false">
      <c r="A6" s="16" t="s">
        <v>72</v>
      </c>
      <c r="B6" s="17" t="n">
        <v>5</v>
      </c>
      <c r="C6" s="18" t="s">
        <v>73</v>
      </c>
    </row>
    <row r="7" customFormat="false" ht="15" hidden="false" customHeight="false" outlineLevel="0" collapsed="false">
      <c r="A7" s="19" t="s">
        <v>74</v>
      </c>
      <c r="B7" s="17" t="n">
        <v>10</v>
      </c>
      <c r="C7" s="18" t="s">
        <v>75</v>
      </c>
    </row>
    <row r="8" customFormat="false" ht="15" hidden="false" customHeight="false" outlineLevel="0" collapsed="false">
      <c r="A8" s="16" t="s">
        <v>76</v>
      </c>
      <c r="B8" s="17" t="n">
        <v>20</v>
      </c>
      <c r="C8" s="18" t="s">
        <v>77</v>
      </c>
    </row>
    <row r="9" customFormat="false" ht="15" hidden="false" customHeight="false" outlineLevel="0" collapsed="false">
      <c r="A9" s="19" t="s">
        <v>78</v>
      </c>
      <c r="B9" s="17" t="n">
        <v>15</v>
      </c>
      <c r="C9" s="18" t="s">
        <v>79</v>
      </c>
    </row>
    <row r="10" customFormat="false" ht="15" hidden="false" customHeight="false" outlineLevel="0" collapsed="false">
      <c r="A10" s="16" t="s">
        <v>80</v>
      </c>
      <c r="B10" s="17" t="n">
        <v>10</v>
      </c>
      <c r="C10" s="18" t="s">
        <v>81</v>
      </c>
    </row>
    <row r="11" customFormat="false" ht="15" hidden="false" customHeight="false" outlineLevel="0" collapsed="false">
      <c r="A11" s="19" t="s">
        <v>82</v>
      </c>
      <c r="B11" s="17" t="n">
        <v>70</v>
      </c>
      <c r="C11" s="18" t="s">
        <v>83</v>
      </c>
    </row>
    <row r="12" customFormat="false" ht="15" hidden="false" customHeight="false" outlineLevel="0" collapsed="false">
      <c r="A12" s="16" t="s">
        <v>84</v>
      </c>
      <c r="B12" s="17" t="n">
        <v>30</v>
      </c>
      <c r="C12" s="18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2026-06-28T18:19:59Z</dcterms:created>
  <dc:creator>openpyxl</dc:creator>
  <dc:description/>
  <dc:language>en-US</dc:language>
  <cp:lastModifiedBy/>
  <dcterms:modified xsi:type="dcterms:W3CDTF">2026-06-28T18:19:59Z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